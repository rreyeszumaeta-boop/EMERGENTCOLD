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VSCODE_DASHBOARD\"/>
    </mc:Choice>
  </mc:AlternateContent>
  <xr:revisionPtr revIDLastSave="0" documentId="13_ncr:1_{66BC13F2-EC66-4985-836C-B19E8FBDDC76}" xr6:coauthVersionLast="47" xr6:coauthVersionMax="47" xr10:uidLastSave="{00000000-0000-0000-0000-000000000000}"/>
  <bookViews>
    <workbookView xWindow="-120" yWindow="-120" windowWidth="20730" windowHeight="11160" xr2:uid="{B2BA2EF8-73C3-431B-91FD-37D558BB1C4C}"/>
  </bookViews>
  <sheets>
    <sheet name="daily_generation" sheetId="1" r:id="rId1"/>
    <sheet name="monthly_ytd" sheetId="2" r:id="rId2"/>
    <sheet name="irradiation" sheetId="3" r:id="rId3"/>
    <sheet name="alarms" sheetId="4" r:id="rId4"/>
    <sheet name="meta" sheetId="5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B5" i="5" l="1"/>
</calcChain>
</file>

<file path=xl/sharedStrings.xml><?xml version="1.0" encoding="utf-8"?>
<sst xmlns="http://schemas.openxmlformats.org/spreadsheetml/2006/main" count="195" uniqueCount="57">
  <si>
    <t>capacity_kwp</t>
  </si>
  <si>
    <t>PV FP4</t>
  </si>
  <si>
    <t>Total</t>
  </si>
  <si>
    <t>duran_generation</t>
  </si>
  <si>
    <t>fp4_generation</t>
  </si>
  <si>
    <t>caucedo_generation</t>
  </si>
  <si>
    <t>duran_contractual</t>
  </si>
  <si>
    <t>fp4_contractual</t>
  </si>
  <si>
    <t>caucedo_contractual</t>
  </si>
  <si>
    <t>month_key</t>
  </si>
  <si>
    <t>day_label</t>
  </si>
  <si>
    <t>2026-01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</si>
  <si>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</si>
  <si>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</si>
  <si>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</si>
  <si>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</si>
  <si>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</si>
  <si>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</si>
  <si>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</si>
  <si>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</si>
  <si>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</si>
  <si>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</si>
  <si>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</si>
  <si>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</si>
  <si>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D13</t>
  </si>
  <si>
    <t>D14</t>
  </si>
  <si>
    <t>D15</t>
  </si>
  <si>
    <t>D16</t>
  </si>
  <si>
    <t>D17</t>
  </si>
  <si>
    <t>D18</t>
  </si>
  <si>
    <t>D19</t>
  </si>
  <si>
    <t>D20</t>
  </si>
  <si>
    <t>D21</t>
  </si>
  <si>
    <t>D22</t>
  </si>
  <si>
    <t>D23</t>
  </si>
  <si>
    <t>D24</t>
  </si>
  <si>
    <t>D25</t>
  </si>
  <si>
    <t>D26</t>
  </si>
  <si>
    <t>D27</t>
  </si>
  <si>
    <t>D28</t>
  </si>
  <si>
    <t>D29</t>
  </si>
  <si>
    <t>D30</t>
  </si>
  <si>
    <t>D31</t>
  </si>
  <si>
    <t>2026-02</t>
  </si>
  <si>
    <t>2026-03</t>
  </si>
  <si>
    <t>duran_com</t>
  </si>
  <si>
    <t>duran_real</t>
  </si>
  <si>
    <t>caucedo_com</t>
  </si>
  <si>
    <t>caucedo_real</t>
  </si>
  <si>
    <t>fp4_com</t>
  </si>
  <si>
    <t>fp4_real</t>
  </si>
  <si>
    <t>plant</t>
  </si>
  <si>
    <t>code</t>
  </si>
  <si>
    <t>hours</t>
  </si>
  <si>
    <t>loss_kwh</t>
  </si>
  <si>
    <t>PV DURAN</t>
  </si>
  <si>
    <t>PV CAUCEDO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</si>
</sst>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2"/>
      <name val="Arial"/>
      <family val="2"/>
    </font>
    <font>
      <sz val="12"/>
      <color rgb="FF000000"/>
      <name val="Arial"/>
      <family val="2"/>
    </font>
    <font>
      <sz val="11"/>
      <color theme="1"/>
      <name val="Arial"/>
      <family val="2"/>
    </font>
    <font>
      <sz val="12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theme="0"/>
        <bgColor rgb="FFFBE4D5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E2EFD9"/>
      </patternFill>
    </fill>
  </fills>
  <borders count="1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 applyAlignment="1">
      <alignment horizontal="center"/>
    </xf>
    <xf numFmtId="0" fontId="0" fillId="0" borderId="1" xfId="0" applyFill="1" applyBorder="1" applyAlignment="1">
      <alignment horizontal="center"/>
    </xf>
    <xf numFmtId="0" fontId="0" fillId="0" borderId="4" xfId="0" applyFill="1" applyBorder="1" applyAlignment="1">
      <alignment horizontal="center"/>
    </xf>
    <xf numFmtId="0" fontId="0" fillId="0" borderId="12" xfId="0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2" fillId="4" borderId="6" xfId="0" applyFont="1" applyFill="1" applyBorder="1" applyAlignment="1">
      <alignment horizontal="center"/>
    </xf>
    <xf numFmtId="0" fontId="2" fillId="4" borderId="10" xfId="0" applyFont="1" applyFill="1" applyBorder="1" applyAlignment="1">
      <alignment horizontal="center"/>
    </xf>
    <xf numFmtId="0" fontId="2" fillId="4" borderId="7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2" fillId="4" borderId="9" xfId="0" applyFont="1" applyFill="1" applyBorder="1" applyAlignment="1">
      <alignment horizontal="center"/>
    </xf>
    <xf numFmtId="0" fontId="2" fillId="4" borderId="0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4" fontId="3" fillId="3" borderId="3" xfId="0" applyNumberFormat="1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4" fontId="3" fillId="5" borderId="2" xfId="0" applyNumberFormat="1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/>
    </xf>
    <xf numFmtId="4" fontId="3" fillId="4" borderId="2" xfId="0" applyNumberFormat="1" applyFont="1" applyFill="1" applyBorder="1" applyAlignment="1">
      <alignment horizontal="center"/>
    </xf>
    <xf numFmtId="0" fontId="3" fillId="4" borderId="6" xfId="0" applyFont="1" applyFill="1" applyBorder="1" applyAlignment="1">
      <alignment horizontal="center"/>
    </xf>
    <xf numFmtId="0" fontId="3" fillId="4" borderId="11" xfId="0" applyFont="1" applyFill="1" applyBorder="1" applyAlignment="1">
      <alignment horizontal="center"/>
    </xf>
    <xf numFmtId="0" fontId="3" fillId="4" borderId="10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11" xfId="0" applyFont="1" applyFill="1" applyBorder="1" applyAlignment="1">
      <alignment horizontal="center" vertical="center"/>
    </xf>
    <xf numFmtId="0" fontId="3" fillId="2" borderId="1" xfId="0" applyFont="1" applyFill="1" applyBorder="1" applyAlignment="1">
      <alignment horizontal="center"/>
    </xf>
    <xf numFmtId="0" fontId="3" fillId="4" borderId="1" xfId="0" applyFont="1" applyFill="1" applyBorder="1" applyAlignment="1">
      <alignment horizontal="center"/>
    </xf>
    <xf numFmtId="4" fontId="3" fillId="2" borderId="1" xfId="0" applyNumberFormat="1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2" fillId="0" borderId="3" xfId="0" applyFont="1" applyBorder="1" applyAlignment="1">
      <alignment horizontal="center"/>
    </xf>
    <xf numFmtId="0" fontId="3" fillId="0" borderId="2" xfId="0" applyFont="1" applyBorder="1" applyAlignment="1">
      <alignment horizontal="center"/>
    </xf>
    <xf numFmtId="0" fontId="2" fillId="0" borderId="13" xfId="0" applyFont="1" applyBorder="1" applyAlignment="1">
      <alignment horizontal="center"/>
    </xf>
    <xf numFmtId="0" fontId="3" fillId="0" borderId="10" xfId="0" applyFont="1" applyBorder="1" applyAlignment="1">
      <alignment horizontal="center"/>
    </xf>
    <xf numFmtId="0" fontId="3" fillId="2" borderId="12" xfId="0" applyFont="1" applyFill="1" applyBorder="1" applyAlignment="1">
      <alignment horizontal="center" vertical="center"/>
    </xf>
    <xf numFmtId="4" fontId="3" fillId="2" borderId="12" xfId="0" applyNumberFormat="1" applyFont="1" applyFill="1" applyBorder="1" applyAlignment="1">
      <alignment horizontal="center"/>
    </xf>
    <xf numFmtId="0" fontId="5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7EF756-905A-42F0-97EC-2FF8B60A6DB7}">
  <dimension ref="A1:H77"/>
  <sheetViews>
    <sheetView tabSelected="1" workbookViewId="0">
      <pane ySplit="1" topLeftCell="A65" activePane="bottomLeft" state="frozen"/>
      <selection pane="bottomLeft" activeCell="F84" sqref="F84"/>
    </sheetView>
  </sheetViews>
  <sheetFormatPr baseColWidth="10" defaultRowHeight="15" x14ac:dyDescent="0.25"/>
  <cols>
    <col min="3" max="3" width="17.28515625" bestFit="1" customWidth="1"/>
    <col min="4" max="4" width="14.7109375" bestFit="1" customWidth="1"/>
    <col min="5" max="5" width="20" bestFit="1" customWidth="1"/>
    <col min="6" max="6" width="17.85546875" bestFit="1" customWidth="1"/>
    <col min="7" max="7" width="15.28515625" bestFit="1" customWidth="1"/>
    <col min="8" max="8" width="20.5703125" bestFit="1" customWidth="1"/>
  </cols>
  <sheetData>
    <row r="1" spans="1:8" x14ac:dyDescent="0.25">
      <c r="A1" s="32" t="s">
        <v>9</v>
      </c>
      <c r="B1" s="32" t="s">
        <v>10</v>
      </c>
      <c r="C1" s="32" t="s">
        <v>3</v>
      </c>
      <c r="D1" s="32" t="s">
        <v>4</v>
      </c>
      <c r="E1" s="32" t="s">
        <v>5</v>
      </c>
      <c r="F1" s="32" t="s">
        <v>6</v>
      </c>
      <c r="G1" s="32" t="s">
        <v>7</v>
      </c>
      <c r="H1" s="32" t="s">
        <v>8</v>
      </c>
    </row>
    <row r="2" spans="1:8" ht="15.75" x14ac:dyDescent="0.25">
      <c r="A2" s="1" t="s">
        <v>11</v>
      </c>
      <c r="B2" s="1" t="s">
        <v>12</v>
      </c>
      <c r="C2" s="5">
        <v>3428.9</v>
      </c>
      <c r="D2" s="15">
        <v>17226.3</v>
      </c>
      <c r="E2" s="6">
        <v>636.20000000000005</v>
      </c>
      <c r="F2" s="15">
        <v>2375.48</v>
      </c>
      <c r="G2" s="16">
        <v>15526.85</v>
      </c>
      <c r="H2" s="17">
        <v>1801.29</v>
      </c>
    </row>
    <row r="3" spans="1:8" ht="15.75" x14ac:dyDescent="0.25">
      <c r="A3" s="1" t="s">
        <v>11</v>
      </c>
      <c r="B3" s="1" t="s">
        <v>13</v>
      </c>
      <c r="C3" s="5">
        <v>3567.9</v>
      </c>
      <c r="D3" s="15">
        <v>17199.2</v>
      </c>
      <c r="E3" s="7">
        <v>1750.7</v>
      </c>
      <c r="F3" s="15">
        <v>2375.48</v>
      </c>
      <c r="G3" s="16">
        <v>15526.85</v>
      </c>
      <c r="H3" s="17">
        <v>1801.29</v>
      </c>
    </row>
    <row r="4" spans="1:8" ht="15.75" x14ac:dyDescent="0.25">
      <c r="A4" s="1" t="s">
        <v>11</v>
      </c>
      <c r="B4" s="1" t="s">
        <v>14</v>
      </c>
      <c r="C4" s="5">
        <v>3807.8</v>
      </c>
      <c r="D4" s="15">
        <v>7070.4</v>
      </c>
      <c r="E4" s="7">
        <v>2025.7</v>
      </c>
      <c r="F4" s="15">
        <v>2375.48</v>
      </c>
      <c r="G4" s="16">
        <v>15526.85</v>
      </c>
      <c r="H4" s="17">
        <v>1801.29</v>
      </c>
    </row>
    <row r="5" spans="1:8" ht="15.75" x14ac:dyDescent="0.25">
      <c r="A5" s="1" t="s">
        <v>11</v>
      </c>
      <c r="B5" s="1" t="s">
        <v>15</v>
      </c>
      <c r="C5" s="5">
        <v>2367.8000000000002</v>
      </c>
      <c r="D5" s="15">
        <v>6548.7</v>
      </c>
      <c r="E5" s="7">
        <v>1528</v>
      </c>
      <c r="F5" s="15">
        <v>2375.48</v>
      </c>
      <c r="G5" s="16">
        <v>15526.85</v>
      </c>
      <c r="H5" s="17">
        <v>1801.29</v>
      </c>
    </row>
    <row r="6" spans="1:8" ht="15.75" x14ac:dyDescent="0.25">
      <c r="A6" s="1" t="s">
        <v>11</v>
      </c>
      <c r="B6" s="1" t="s">
        <v>16</v>
      </c>
      <c r="C6" s="5">
        <v>3110.3</v>
      </c>
      <c r="D6" s="15">
        <v>7812.5</v>
      </c>
      <c r="E6" s="7">
        <v>1710.1</v>
      </c>
      <c r="F6" s="15">
        <v>2375.48</v>
      </c>
      <c r="G6" s="16">
        <v>15526.85</v>
      </c>
      <c r="H6" s="17">
        <v>1801.29</v>
      </c>
    </row>
    <row r="7" spans="1:8" ht="15.75" x14ac:dyDescent="0.25">
      <c r="A7" s="1" t="s">
        <v>11</v>
      </c>
      <c r="B7" s="1" t="s">
        <v>17</v>
      </c>
      <c r="C7" s="5">
        <v>2901.7</v>
      </c>
      <c r="D7" s="15">
        <v>17195.5</v>
      </c>
      <c r="E7" s="7">
        <v>1288</v>
      </c>
      <c r="F7" s="15">
        <v>2375.48</v>
      </c>
      <c r="G7" s="16">
        <v>15526.85</v>
      </c>
      <c r="H7" s="17">
        <v>1801.29</v>
      </c>
    </row>
    <row r="8" spans="1:8" ht="15.75" x14ac:dyDescent="0.25">
      <c r="A8" s="1" t="s">
        <v>11</v>
      </c>
      <c r="B8" s="1" t="s">
        <v>18</v>
      </c>
      <c r="C8" s="5">
        <v>2815.7</v>
      </c>
      <c r="D8" s="15">
        <v>17011.5</v>
      </c>
      <c r="E8" s="7">
        <v>1936</v>
      </c>
      <c r="F8" s="15">
        <v>2375.48</v>
      </c>
      <c r="G8" s="16">
        <v>15526.85</v>
      </c>
      <c r="H8" s="17">
        <v>1801.29</v>
      </c>
    </row>
    <row r="9" spans="1:8" ht="15.75" x14ac:dyDescent="0.25">
      <c r="A9" s="1" t="s">
        <v>11</v>
      </c>
      <c r="B9" s="1" t="s">
        <v>19</v>
      </c>
      <c r="C9" s="5">
        <v>1938.1</v>
      </c>
      <c r="D9" s="15">
        <v>10727.3</v>
      </c>
      <c r="E9" s="7">
        <v>1819</v>
      </c>
      <c r="F9" s="15">
        <v>2375.48</v>
      </c>
      <c r="G9" s="16">
        <v>15526.85</v>
      </c>
      <c r="H9" s="17">
        <v>1801.29</v>
      </c>
    </row>
    <row r="10" spans="1:8" ht="15.75" x14ac:dyDescent="0.25">
      <c r="A10" s="1" t="s">
        <v>11</v>
      </c>
      <c r="B10" s="1" t="s">
        <v>20</v>
      </c>
      <c r="C10" s="5">
        <v>875.7</v>
      </c>
      <c r="D10" s="15">
        <v>18667.3</v>
      </c>
      <c r="E10" s="7">
        <v>1593</v>
      </c>
      <c r="F10" s="15">
        <v>2375.48</v>
      </c>
      <c r="G10" s="16">
        <v>15526.85</v>
      </c>
      <c r="H10" s="17">
        <v>1801.29</v>
      </c>
    </row>
    <row r="11" spans="1:8" ht="15.75" x14ac:dyDescent="0.25">
      <c r="A11" s="1" t="s">
        <v>11</v>
      </c>
      <c r="B11" s="1" t="s">
        <v>21</v>
      </c>
      <c r="C11" s="5">
        <v>2212.1</v>
      </c>
      <c r="D11" s="15">
        <v>17647.900000000001</v>
      </c>
      <c r="E11" s="7">
        <v>339</v>
      </c>
      <c r="F11" s="15">
        <v>2375.48</v>
      </c>
      <c r="G11" s="16">
        <v>15526.85</v>
      </c>
      <c r="H11" s="17">
        <v>1801.29</v>
      </c>
    </row>
    <row r="12" spans="1:8" ht="15.75" x14ac:dyDescent="0.25">
      <c r="A12" s="1" t="s">
        <v>11</v>
      </c>
      <c r="B12" s="1" t="s">
        <v>22</v>
      </c>
      <c r="C12" s="5">
        <v>2684.1</v>
      </c>
      <c r="D12" s="15">
        <v>16752.599999999999</v>
      </c>
      <c r="E12" s="7">
        <v>1268</v>
      </c>
      <c r="F12" s="15">
        <v>2375.48</v>
      </c>
      <c r="G12" s="16">
        <v>15526.85</v>
      </c>
      <c r="H12" s="17">
        <v>1801.29</v>
      </c>
    </row>
    <row r="13" spans="1:8" ht="15.75" x14ac:dyDescent="0.25">
      <c r="A13" s="1" t="s">
        <v>11</v>
      </c>
      <c r="B13" s="1" t="s">
        <v>23</v>
      </c>
      <c r="C13" s="5">
        <v>2444.1999999999998</v>
      </c>
      <c r="D13" s="18">
        <v>15883.4</v>
      </c>
      <c r="E13" s="7">
        <v>1655</v>
      </c>
      <c r="F13" s="15">
        <v>2375.48</v>
      </c>
      <c r="G13" s="16">
        <v>15526.85</v>
      </c>
      <c r="H13" s="17">
        <v>1801.29</v>
      </c>
    </row>
    <row r="14" spans="1:8" ht="15.75" x14ac:dyDescent="0.25">
      <c r="A14" s="1" t="s">
        <v>11</v>
      </c>
      <c r="B14" s="1" t="s">
        <v>24</v>
      </c>
      <c r="C14" s="5">
        <v>2963</v>
      </c>
      <c r="D14" s="18">
        <v>17628.900000000001</v>
      </c>
      <c r="E14" s="7">
        <v>1842</v>
      </c>
      <c r="F14" s="15">
        <v>2375.48</v>
      </c>
      <c r="G14" s="16">
        <v>15526.85</v>
      </c>
      <c r="H14" s="17">
        <v>1801.29</v>
      </c>
    </row>
    <row r="15" spans="1:8" ht="15.75" x14ac:dyDescent="0.25">
      <c r="A15" s="1" t="s">
        <v>11</v>
      </c>
      <c r="B15" s="1" t="s">
        <v>25</v>
      </c>
      <c r="C15" s="5">
        <v>2293</v>
      </c>
      <c r="D15" s="18">
        <v>17327.7</v>
      </c>
      <c r="E15" s="7">
        <v>2219</v>
      </c>
      <c r="F15" s="15">
        <v>2375.48</v>
      </c>
      <c r="G15" s="16">
        <v>15526.85</v>
      </c>
      <c r="H15" s="17">
        <v>1801.29</v>
      </c>
    </row>
    <row r="16" spans="1:8" ht="15.75" x14ac:dyDescent="0.25">
      <c r="A16" s="1" t="s">
        <v>11</v>
      </c>
      <c r="B16" s="1" t="s">
        <v>26</v>
      </c>
      <c r="C16" s="5">
        <v>1032.7</v>
      </c>
      <c r="D16" s="18">
        <v>16781.599999999999</v>
      </c>
      <c r="E16" s="7">
        <v>2093</v>
      </c>
      <c r="F16" s="15">
        <v>2375.48</v>
      </c>
      <c r="G16" s="16">
        <v>15526.85</v>
      </c>
      <c r="H16" s="17">
        <v>1801.29</v>
      </c>
    </row>
    <row r="17" spans="1:8" ht="15.75" x14ac:dyDescent="0.25">
      <c r="A17" s="1" t="s">
        <v>11</v>
      </c>
      <c r="B17" s="1" t="s">
        <v>27</v>
      </c>
      <c r="C17" s="5">
        <v>2843.5</v>
      </c>
      <c r="D17" s="18">
        <v>16942.900000000001</v>
      </c>
      <c r="E17" s="7">
        <v>1736</v>
      </c>
      <c r="F17" s="15">
        <v>2375.48</v>
      </c>
      <c r="G17" s="16">
        <v>15526.85</v>
      </c>
      <c r="H17" s="17">
        <v>1801.29</v>
      </c>
    </row>
    <row r="18" spans="1:8" ht="15.75" x14ac:dyDescent="0.25">
      <c r="A18" s="1" t="s">
        <v>11</v>
      </c>
      <c r="B18" s="1" t="s">
        <v>28</v>
      </c>
      <c r="C18" s="5">
        <v>2585.9</v>
      </c>
      <c r="D18" s="18">
        <v>16993.3</v>
      </c>
      <c r="E18" s="7">
        <v>2008</v>
      </c>
      <c r="F18" s="15">
        <v>2375.48</v>
      </c>
      <c r="G18" s="16">
        <v>15526.85</v>
      </c>
      <c r="H18" s="17">
        <v>1801.29</v>
      </c>
    </row>
    <row r="19" spans="1:8" ht="15.75" x14ac:dyDescent="0.25">
      <c r="A19" s="1" t="s">
        <v>11</v>
      </c>
      <c r="B19" s="1" t="s">
        <v>29</v>
      </c>
      <c r="C19" s="5">
        <v>1788.6</v>
      </c>
      <c r="D19" s="18">
        <v>10114.4</v>
      </c>
      <c r="E19" s="7">
        <v>2277</v>
      </c>
      <c r="F19" s="15">
        <v>2375.48</v>
      </c>
      <c r="G19" s="16">
        <v>15526.85</v>
      </c>
      <c r="H19" s="17">
        <v>1801.29</v>
      </c>
    </row>
    <row r="20" spans="1:8" ht="15.75" x14ac:dyDescent="0.25">
      <c r="A20" s="1" t="s">
        <v>11</v>
      </c>
      <c r="B20" s="1" t="s">
        <v>30</v>
      </c>
      <c r="C20" s="5">
        <v>2328.1</v>
      </c>
      <c r="D20" s="18">
        <v>13994.5</v>
      </c>
      <c r="E20" s="7">
        <v>2247</v>
      </c>
      <c r="F20" s="15">
        <v>2375.48</v>
      </c>
      <c r="G20" s="16">
        <v>15526.85</v>
      </c>
      <c r="H20" s="17">
        <v>1801.29</v>
      </c>
    </row>
    <row r="21" spans="1:8" ht="15.75" x14ac:dyDescent="0.25">
      <c r="A21" s="1" t="s">
        <v>11</v>
      </c>
      <c r="B21" s="1" t="s">
        <v>31</v>
      </c>
      <c r="C21" s="5">
        <v>1863.8</v>
      </c>
      <c r="D21" s="18">
        <v>7863.9</v>
      </c>
      <c r="E21" s="7">
        <v>1635</v>
      </c>
      <c r="F21" s="15">
        <v>2375.48</v>
      </c>
      <c r="G21" s="16">
        <v>15526.85</v>
      </c>
      <c r="H21" s="17">
        <v>1801.29</v>
      </c>
    </row>
    <row r="22" spans="1:8" ht="15.75" x14ac:dyDescent="0.25">
      <c r="A22" s="1" t="s">
        <v>11</v>
      </c>
      <c r="B22" s="1" t="s">
        <v>32</v>
      </c>
      <c r="C22" s="5">
        <v>1144.5</v>
      </c>
      <c r="D22" s="18">
        <v>16289.2</v>
      </c>
      <c r="E22" s="7">
        <v>1318</v>
      </c>
      <c r="F22" s="15">
        <v>2375.48</v>
      </c>
      <c r="G22" s="16">
        <v>15526.85</v>
      </c>
      <c r="H22" s="17">
        <v>1801.29</v>
      </c>
    </row>
    <row r="23" spans="1:8" ht="15.75" x14ac:dyDescent="0.25">
      <c r="A23" s="1" t="s">
        <v>11</v>
      </c>
      <c r="B23" s="1" t="s">
        <v>33</v>
      </c>
      <c r="C23" s="5">
        <v>1925.5</v>
      </c>
      <c r="D23" s="18">
        <v>15453.7</v>
      </c>
      <c r="E23" s="7">
        <v>1773</v>
      </c>
      <c r="F23" s="15">
        <v>2375.48</v>
      </c>
      <c r="G23" s="16">
        <v>15526.85</v>
      </c>
      <c r="H23" s="17">
        <v>1801.29</v>
      </c>
    </row>
    <row r="24" spans="1:8" ht="15.75" x14ac:dyDescent="0.25">
      <c r="A24" s="1" t="s">
        <v>11</v>
      </c>
      <c r="B24" s="1" t="s">
        <v>34</v>
      </c>
      <c r="C24" s="5">
        <v>1431</v>
      </c>
      <c r="D24" s="18">
        <v>15263.3</v>
      </c>
      <c r="E24" s="7">
        <v>1424</v>
      </c>
      <c r="F24" s="15">
        <v>2375.48</v>
      </c>
      <c r="G24" s="16">
        <v>15526.85</v>
      </c>
      <c r="H24" s="17">
        <v>1801.29</v>
      </c>
    </row>
    <row r="25" spans="1:8" ht="15.75" x14ac:dyDescent="0.25">
      <c r="A25" s="1" t="s">
        <v>11</v>
      </c>
      <c r="B25" s="1" t="s">
        <v>35</v>
      </c>
      <c r="C25" s="5">
        <v>1858</v>
      </c>
      <c r="D25" s="18">
        <v>15187.6</v>
      </c>
      <c r="E25" s="7">
        <v>1506</v>
      </c>
      <c r="F25" s="15">
        <v>2375.48</v>
      </c>
      <c r="G25" s="16">
        <v>15526.85</v>
      </c>
      <c r="H25" s="17">
        <v>1801.29</v>
      </c>
    </row>
    <row r="26" spans="1:8" ht="15.75" x14ac:dyDescent="0.25">
      <c r="A26" s="1" t="s">
        <v>11</v>
      </c>
      <c r="B26" s="1" t="s">
        <v>36</v>
      </c>
      <c r="C26" s="5">
        <v>1836.3</v>
      </c>
      <c r="D26" s="18">
        <v>15124.8</v>
      </c>
      <c r="E26" s="7">
        <v>1820</v>
      </c>
      <c r="F26" s="15">
        <v>2375.48</v>
      </c>
      <c r="G26" s="16">
        <v>15526.85</v>
      </c>
      <c r="H26" s="17">
        <v>1801.29</v>
      </c>
    </row>
    <row r="27" spans="1:8" ht="15.75" x14ac:dyDescent="0.25">
      <c r="A27" s="1" t="s">
        <v>11</v>
      </c>
      <c r="B27" s="1" t="s">
        <v>37</v>
      </c>
      <c r="C27" s="5">
        <v>1528.8</v>
      </c>
      <c r="D27" s="18">
        <v>14723.5</v>
      </c>
      <c r="E27" s="7">
        <v>2338</v>
      </c>
      <c r="F27" s="15">
        <v>2375.48</v>
      </c>
      <c r="G27" s="16">
        <v>15526.85</v>
      </c>
      <c r="H27" s="17">
        <v>1801.29</v>
      </c>
    </row>
    <row r="28" spans="1:8" ht="15.75" x14ac:dyDescent="0.25">
      <c r="A28" s="1" t="s">
        <v>11</v>
      </c>
      <c r="B28" s="1" t="s">
        <v>38</v>
      </c>
      <c r="C28" s="5">
        <v>2208.9</v>
      </c>
      <c r="D28" s="18">
        <v>14786.7</v>
      </c>
      <c r="E28" s="7">
        <v>2380</v>
      </c>
      <c r="F28" s="15">
        <v>2375.48</v>
      </c>
      <c r="G28" s="16">
        <v>15526.85</v>
      </c>
      <c r="H28" s="17">
        <v>1801.29</v>
      </c>
    </row>
    <row r="29" spans="1:8" ht="15.75" x14ac:dyDescent="0.25">
      <c r="A29" s="1" t="s">
        <v>11</v>
      </c>
      <c r="B29" s="1" t="s">
        <v>39</v>
      </c>
      <c r="C29" s="5">
        <v>2239.6999999999998</v>
      </c>
      <c r="D29" s="18">
        <v>14564.8</v>
      </c>
      <c r="E29" s="7">
        <v>2362</v>
      </c>
      <c r="F29" s="15">
        <v>2375.48</v>
      </c>
      <c r="G29" s="16">
        <v>15526.85</v>
      </c>
      <c r="H29" s="17">
        <v>1801.29</v>
      </c>
    </row>
    <row r="30" spans="1:8" ht="15.75" x14ac:dyDescent="0.25">
      <c r="A30" s="1" t="s">
        <v>11</v>
      </c>
      <c r="B30" s="1" t="s">
        <v>40</v>
      </c>
      <c r="C30" s="5">
        <v>2621.4</v>
      </c>
      <c r="D30" s="18">
        <v>14867.4</v>
      </c>
      <c r="E30" s="7">
        <v>2379.4</v>
      </c>
      <c r="F30" s="15">
        <v>2375.48</v>
      </c>
      <c r="G30" s="16">
        <v>15526.85</v>
      </c>
      <c r="H30" s="17">
        <v>1801.29</v>
      </c>
    </row>
    <row r="31" spans="1:8" ht="15.75" x14ac:dyDescent="0.25">
      <c r="A31" s="1" t="s">
        <v>11</v>
      </c>
      <c r="B31" s="1" t="s">
        <v>41</v>
      </c>
      <c r="C31" s="19">
        <v>2496.1</v>
      </c>
      <c r="D31" s="18">
        <v>9449.7999999999993</v>
      </c>
      <c r="E31" s="15">
        <v>2437</v>
      </c>
      <c r="F31" s="15">
        <v>2375.48</v>
      </c>
      <c r="G31" s="16">
        <v>15526.85</v>
      </c>
      <c r="H31" s="17">
        <v>1801.29</v>
      </c>
    </row>
    <row r="32" spans="1:8" ht="15.75" x14ac:dyDescent="0.25">
      <c r="A32" s="1" t="s">
        <v>11</v>
      </c>
      <c r="B32" s="1" t="s">
        <v>42</v>
      </c>
      <c r="C32" s="19">
        <v>1741</v>
      </c>
      <c r="D32" s="18">
        <v>13683.7</v>
      </c>
      <c r="E32" s="15">
        <v>2012</v>
      </c>
      <c r="F32" s="15">
        <v>2375.48</v>
      </c>
      <c r="G32" s="16">
        <v>15526.85</v>
      </c>
      <c r="H32" s="17">
        <v>1801.29</v>
      </c>
    </row>
    <row r="33" spans="1:8" ht="15.75" x14ac:dyDescent="0.25">
      <c r="A33" s="1" t="s">
        <v>43</v>
      </c>
      <c r="B33" s="1" t="s">
        <v>12</v>
      </c>
      <c r="C33" s="8">
        <v>1991.3</v>
      </c>
      <c r="D33" s="20">
        <v>13408.7</v>
      </c>
      <c r="E33" s="9">
        <v>2206.3000000000002</v>
      </c>
      <c r="F33" s="15">
        <v>2503.92</v>
      </c>
      <c r="G33" s="21">
        <v>13486.73</v>
      </c>
      <c r="H33" s="15">
        <v>2086.6999999999998</v>
      </c>
    </row>
    <row r="34" spans="1:8" ht="15.75" x14ac:dyDescent="0.25">
      <c r="A34" s="1" t="s">
        <v>43</v>
      </c>
      <c r="B34" s="3" t="s">
        <v>13</v>
      </c>
      <c r="C34" s="10">
        <v>2960</v>
      </c>
      <c r="D34" s="20">
        <v>12588.8</v>
      </c>
      <c r="E34" s="22">
        <v>968</v>
      </c>
      <c r="F34" s="15">
        <v>2503.92</v>
      </c>
      <c r="G34" s="21">
        <v>13486.73</v>
      </c>
      <c r="H34" s="15">
        <v>2086.6999999999998</v>
      </c>
    </row>
    <row r="35" spans="1:8" ht="15.75" x14ac:dyDescent="0.25">
      <c r="A35" s="1" t="s">
        <v>43</v>
      </c>
      <c r="B35" s="1" t="s">
        <v>14</v>
      </c>
      <c r="C35" s="10">
        <v>3549.3</v>
      </c>
      <c r="D35" s="20">
        <v>10486.3</v>
      </c>
      <c r="E35" s="22">
        <v>1930</v>
      </c>
      <c r="F35" s="15">
        <v>2503.92</v>
      </c>
      <c r="G35" s="21">
        <v>13486.73</v>
      </c>
      <c r="H35" s="15">
        <v>2086.6999999999998</v>
      </c>
    </row>
    <row r="36" spans="1:8" ht="15.75" x14ac:dyDescent="0.25">
      <c r="A36" s="1" t="s">
        <v>43</v>
      </c>
      <c r="B36" s="3" t="s">
        <v>15</v>
      </c>
      <c r="C36" s="10">
        <v>1891</v>
      </c>
      <c r="D36" s="20">
        <v>6417.9</v>
      </c>
      <c r="E36" s="22">
        <v>1385</v>
      </c>
      <c r="F36" s="15">
        <v>2503.92</v>
      </c>
      <c r="G36" s="21">
        <v>13486.73</v>
      </c>
      <c r="H36" s="15">
        <v>2086.6999999999998</v>
      </c>
    </row>
    <row r="37" spans="1:8" ht="15.75" x14ac:dyDescent="0.25">
      <c r="A37" s="1" t="s">
        <v>43</v>
      </c>
      <c r="B37" s="1" t="s">
        <v>16</v>
      </c>
      <c r="C37" s="10">
        <v>2302.9</v>
      </c>
      <c r="D37" s="20">
        <v>14770.4</v>
      </c>
      <c r="E37" s="22">
        <v>1336</v>
      </c>
      <c r="F37" s="15">
        <v>2503.92</v>
      </c>
      <c r="G37" s="21">
        <v>13486.73</v>
      </c>
      <c r="H37" s="15">
        <v>2086.6999999999998</v>
      </c>
    </row>
    <row r="38" spans="1:8" ht="15.75" x14ac:dyDescent="0.25">
      <c r="A38" s="1" t="s">
        <v>43</v>
      </c>
      <c r="B38" s="3" t="s">
        <v>17</v>
      </c>
      <c r="C38" s="10">
        <v>2695.3</v>
      </c>
      <c r="D38" s="20">
        <v>15146.2</v>
      </c>
      <c r="E38" s="22">
        <v>2502</v>
      </c>
      <c r="F38" s="15">
        <v>2503.92</v>
      </c>
      <c r="G38" s="21">
        <v>13486.73</v>
      </c>
      <c r="H38" s="15">
        <v>2086.6999999999998</v>
      </c>
    </row>
    <row r="39" spans="1:8" ht="15.75" x14ac:dyDescent="0.25">
      <c r="A39" s="1" t="s">
        <v>43</v>
      </c>
      <c r="B39" s="1" t="s">
        <v>18</v>
      </c>
      <c r="C39" s="10">
        <v>1499.8</v>
      </c>
      <c r="D39" s="20">
        <v>14623.8</v>
      </c>
      <c r="E39" s="22">
        <v>1003.8</v>
      </c>
      <c r="F39" s="15">
        <v>2503.92</v>
      </c>
      <c r="G39" s="21">
        <v>13486.73</v>
      </c>
      <c r="H39" s="15">
        <v>2086.6999999999998</v>
      </c>
    </row>
    <row r="40" spans="1:8" ht="15.75" x14ac:dyDescent="0.25">
      <c r="A40" s="1" t="s">
        <v>43</v>
      </c>
      <c r="B40" s="3" t="s">
        <v>19</v>
      </c>
      <c r="C40" s="10">
        <v>3149</v>
      </c>
      <c r="D40" s="20">
        <v>12374.5</v>
      </c>
      <c r="E40" s="22">
        <v>140</v>
      </c>
      <c r="F40" s="15">
        <v>2503.92</v>
      </c>
      <c r="G40" s="21">
        <v>13486.73</v>
      </c>
      <c r="H40" s="15">
        <v>2086.6999999999998</v>
      </c>
    </row>
    <row r="41" spans="1:8" ht="15.75" x14ac:dyDescent="0.25">
      <c r="A41" s="1" t="s">
        <v>43</v>
      </c>
      <c r="B41" s="1" t="s">
        <v>20</v>
      </c>
      <c r="C41" s="10">
        <v>2193</v>
      </c>
      <c r="D41" s="20">
        <v>14603.4</v>
      </c>
      <c r="E41" s="22">
        <v>2051</v>
      </c>
      <c r="F41" s="15">
        <v>2503.92</v>
      </c>
      <c r="G41" s="21">
        <v>13486.73</v>
      </c>
      <c r="H41" s="15">
        <v>2086.6999999999998</v>
      </c>
    </row>
    <row r="42" spans="1:8" ht="15.75" x14ac:dyDescent="0.25">
      <c r="A42" s="1" t="s">
        <v>43</v>
      </c>
      <c r="B42" s="3" t="s">
        <v>21</v>
      </c>
      <c r="C42" s="10">
        <v>2556.9</v>
      </c>
      <c r="D42" s="20">
        <v>10815.7</v>
      </c>
      <c r="E42" s="22">
        <v>2434</v>
      </c>
      <c r="F42" s="15">
        <v>2503.92</v>
      </c>
      <c r="G42" s="21">
        <v>13486.73</v>
      </c>
      <c r="H42" s="15">
        <v>2086.6999999999998</v>
      </c>
    </row>
    <row r="43" spans="1:8" ht="15.75" x14ac:dyDescent="0.25">
      <c r="A43" s="1" t="s">
        <v>43</v>
      </c>
      <c r="B43" s="1" t="s">
        <v>22</v>
      </c>
      <c r="C43" s="10">
        <v>2061.5</v>
      </c>
      <c r="D43" s="20">
        <v>14758.4</v>
      </c>
      <c r="E43" s="22">
        <v>2402</v>
      </c>
      <c r="F43" s="15">
        <v>2503.92</v>
      </c>
      <c r="G43" s="21">
        <v>13486.73</v>
      </c>
      <c r="H43" s="15">
        <v>2086.6999999999998</v>
      </c>
    </row>
    <row r="44" spans="1:8" ht="15.75" x14ac:dyDescent="0.25">
      <c r="A44" s="1" t="s">
        <v>43</v>
      </c>
      <c r="B44" s="3" t="s">
        <v>23</v>
      </c>
      <c r="C44" s="10">
        <v>2680.1</v>
      </c>
      <c r="D44" s="20">
        <v>14958</v>
      </c>
      <c r="E44" s="22">
        <v>2505</v>
      </c>
      <c r="F44" s="15">
        <v>2503.92</v>
      </c>
      <c r="G44" s="21">
        <v>13486.73</v>
      </c>
      <c r="H44" s="15">
        <v>2086.6999999999998</v>
      </c>
    </row>
    <row r="45" spans="1:8" ht="15.75" x14ac:dyDescent="0.25">
      <c r="A45" s="1" t="s">
        <v>43</v>
      </c>
      <c r="B45" s="1" t="s">
        <v>24</v>
      </c>
      <c r="C45" s="10">
        <v>2603</v>
      </c>
      <c r="D45" s="20">
        <v>15074.9</v>
      </c>
      <c r="E45" s="22">
        <v>1698</v>
      </c>
      <c r="F45" s="15">
        <v>2503.92</v>
      </c>
      <c r="G45" s="21">
        <v>13486.73</v>
      </c>
      <c r="H45" s="15">
        <v>2086.6999999999998</v>
      </c>
    </row>
    <row r="46" spans="1:8" ht="15.75" x14ac:dyDescent="0.25">
      <c r="A46" s="1" t="s">
        <v>43</v>
      </c>
      <c r="B46" s="3" t="s">
        <v>25</v>
      </c>
      <c r="C46" s="10">
        <v>3645.6</v>
      </c>
      <c r="D46" s="20">
        <v>15276.9</v>
      </c>
      <c r="E46" s="22">
        <v>1890</v>
      </c>
      <c r="F46" s="15">
        <v>2503.92</v>
      </c>
      <c r="G46" s="21">
        <v>13486.73</v>
      </c>
      <c r="H46" s="15">
        <v>2086.6999999999998</v>
      </c>
    </row>
    <row r="47" spans="1:8" ht="15.75" x14ac:dyDescent="0.25">
      <c r="A47" s="1" t="s">
        <v>43</v>
      </c>
      <c r="B47" s="1" t="s">
        <v>26</v>
      </c>
      <c r="C47" s="10">
        <v>2007.8</v>
      </c>
      <c r="D47" s="20">
        <v>15138.8</v>
      </c>
      <c r="E47" s="22">
        <v>1637</v>
      </c>
      <c r="F47" s="15">
        <v>2503.92</v>
      </c>
      <c r="G47" s="21">
        <v>13486.73</v>
      </c>
      <c r="H47" s="15">
        <v>2086.6999999999998</v>
      </c>
    </row>
    <row r="48" spans="1:8" ht="15.75" x14ac:dyDescent="0.25">
      <c r="A48" s="1" t="s">
        <v>43</v>
      </c>
      <c r="B48" s="3" t="s">
        <v>27</v>
      </c>
      <c r="C48" s="10">
        <v>2557</v>
      </c>
      <c r="D48" s="20">
        <v>14864.4</v>
      </c>
      <c r="E48" s="22">
        <v>2527</v>
      </c>
      <c r="F48" s="15">
        <v>2503.92</v>
      </c>
      <c r="G48" s="21">
        <v>13486.73</v>
      </c>
      <c r="H48" s="15">
        <v>2086.6999999999998</v>
      </c>
    </row>
    <row r="49" spans="1:8" ht="15.75" x14ac:dyDescent="0.25">
      <c r="A49" s="1" t="s">
        <v>43</v>
      </c>
      <c r="B49" s="1" t="s">
        <v>28</v>
      </c>
      <c r="C49" s="10">
        <v>3295.4</v>
      </c>
      <c r="D49" s="20">
        <v>9767.6</v>
      </c>
      <c r="E49" s="22">
        <v>2455</v>
      </c>
      <c r="F49" s="15">
        <v>2503.92</v>
      </c>
      <c r="G49" s="21">
        <v>13486.73</v>
      </c>
      <c r="H49" s="15">
        <v>2086.6999999999998</v>
      </c>
    </row>
    <row r="50" spans="1:8" ht="15.75" x14ac:dyDescent="0.25">
      <c r="A50" s="1" t="s">
        <v>43</v>
      </c>
      <c r="B50" s="3" t="s">
        <v>29</v>
      </c>
      <c r="C50" s="10">
        <v>2651.4</v>
      </c>
      <c r="D50" s="20">
        <v>15818.3</v>
      </c>
      <c r="E50" s="22">
        <v>2003</v>
      </c>
      <c r="F50" s="15">
        <v>2503.92</v>
      </c>
      <c r="G50" s="21">
        <v>13486.73</v>
      </c>
      <c r="H50" s="15">
        <v>2086.6999999999998</v>
      </c>
    </row>
    <row r="51" spans="1:8" ht="15.75" x14ac:dyDescent="0.25">
      <c r="A51" s="1" t="s">
        <v>43</v>
      </c>
      <c r="B51" s="1" t="s">
        <v>30</v>
      </c>
      <c r="C51" s="10">
        <v>3598.2</v>
      </c>
      <c r="D51" s="20">
        <v>15801.1</v>
      </c>
      <c r="E51" s="22">
        <v>2759</v>
      </c>
      <c r="F51" s="15">
        <v>2503.92</v>
      </c>
      <c r="G51" s="21">
        <v>13486.73</v>
      </c>
      <c r="H51" s="15">
        <v>2086.6999999999998</v>
      </c>
    </row>
    <row r="52" spans="1:8" ht="15.75" x14ac:dyDescent="0.25">
      <c r="A52" s="1" t="s">
        <v>43</v>
      </c>
      <c r="B52" s="3" t="s">
        <v>31</v>
      </c>
      <c r="C52" s="10">
        <v>2933</v>
      </c>
      <c r="D52" s="20">
        <v>15034.9</v>
      </c>
      <c r="E52" s="22">
        <v>2497</v>
      </c>
      <c r="F52" s="15">
        <v>2503.92</v>
      </c>
      <c r="G52" s="21">
        <v>13486.73</v>
      </c>
      <c r="H52" s="15">
        <v>2086.6999999999998</v>
      </c>
    </row>
    <row r="53" spans="1:8" ht="15.75" x14ac:dyDescent="0.25">
      <c r="A53" s="1" t="s">
        <v>43</v>
      </c>
      <c r="B53" s="1" t="s">
        <v>32</v>
      </c>
      <c r="C53" s="10">
        <v>3218.9</v>
      </c>
      <c r="D53" s="20">
        <v>14613.6</v>
      </c>
      <c r="E53" s="22">
        <v>2732</v>
      </c>
      <c r="F53" s="15">
        <v>2503.92</v>
      </c>
      <c r="G53" s="21">
        <v>13486.73</v>
      </c>
      <c r="H53" s="15">
        <v>2086.6999999999998</v>
      </c>
    </row>
    <row r="54" spans="1:8" ht="15.75" x14ac:dyDescent="0.25">
      <c r="A54" s="1" t="s">
        <v>43</v>
      </c>
      <c r="B54" s="3" t="s">
        <v>33</v>
      </c>
      <c r="C54" s="10">
        <v>3409.6</v>
      </c>
      <c r="D54" s="20">
        <v>14573.5</v>
      </c>
      <c r="E54" s="22">
        <v>2604</v>
      </c>
      <c r="F54" s="15">
        <v>2503.92</v>
      </c>
      <c r="G54" s="21">
        <v>13486.73</v>
      </c>
      <c r="H54" s="15">
        <v>2086.6999999999998</v>
      </c>
    </row>
    <row r="55" spans="1:8" ht="15.75" x14ac:dyDescent="0.25">
      <c r="A55" s="1" t="s">
        <v>43</v>
      </c>
      <c r="B55" s="1" t="s">
        <v>34</v>
      </c>
      <c r="C55" s="10">
        <v>2962.3</v>
      </c>
      <c r="D55" s="20">
        <v>14499.9</v>
      </c>
      <c r="E55" s="22">
        <v>684</v>
      </c>
      <c r="F55" s="15">
        <v>2503.92</v>
      </c>
      <c r="G55" s="21">
        <v>13486.73</v>
      </c>
      <c r="H55" s="15">
        <v>2086.6999999999998</v>
      </c>
    </row>
    <row r="56" spans="1:8" ht="15.75" x14ac:dyDescent="0.25">
      <c r="A56" s="1" t="s">
        <v>43</v>
      </c>
      <c r="B56" s="3" t="s">
        <v>35</v>
      </c>
      <c r="C56" s="10">
        <v>3168.2</v>
      </c>
      <c r="D56" s="20">
        <v>13610.2</v>
      </c>
      <c r="E56" s="22">
        <v>1992</v>
      </c>
      <c r="F56" s="15">
        <v>2503.92</v>
      </c>
      <c r="G56" s="21">
        <v>13486.73</v>
      </c>
      <c r="H56" s="15">
        <v>2086.6999999999998</v>
      </c>
    </row>
    <row r="57" spans="1:8" ht="15.75" x14ac:dyDescent="0.25">
      <c r="A57" s="1" t="s">
        <v>43</v>
      </c>
      <c r="B57" s="1" t="s">
        <v>36</v>
      </c>
      <c r="C57" s="10">
        <v>1501.5</v>
      </c>
      <c r="D57" s="20">
        <v>9720.9</v>
      </c>
      <c r="E57" s="22">
        <v>2410</v>
      </c>
      <c r="F57" s="15">
        <v>2503.92</v>
      </c>
      <c r="G57" s="21">
        <v>13486.73</v>
      </c>
      <c r="H57" s="15">
        <v>2086.6999999999998</v>
      </c>
    </row>
    <row r="58" spans="1:8" ht="15.75" x14ac:dyDescent="0.25">
      <c r="A58" s="1" t="s">
        <v>43</v>
      </c>
      <c r="B58" s="3" t="s">
        <v>37</v>
      </c>
      <c r="C58" s="10">
        <v>2821.4</v>
      </c>
      <c r="D58" s="20">
        <v>13564.8</v>
      </c>
      <c r="E58" s="22">
        <v>2523</v>
      </c>
      <c r="F58" s="15">
        <v>2503.92</v>
      </c>
      <c r="G58" s="21">
        <v>13486.73</v>
      </c>
      <c r="H58" s="15">
        <v>2086.6999999999998</v>
      </c>
    </row>
    <row r="59" spans="1:8" ht="15.75" x14ac:dyDescent="0.25">
      <c r="A59" s="1" t="s">
        <v>43</v>
      </c>
      <c r="B59" s="1" t="s">
        <v>38</v>
      </c>
      <c r="C59" s="10">
        <v>2328.1</v>
      </c>
      <c r="D59" s="20">
        <v>10634</v>
      </c>
      <c r="E59" s="22">
        <v>2454</v>
      </c>
      <c r="F59" s="15">
        <v>2503.92</v>
      </c>
      <c r="G59" s="21">
        <v>13486.73</v>
      </c>
      <c r="H59" s="15">
        <v>2086.6999999999998</v>
      </c>
    </row>
    <row r="60" spans="1:8" ht="15.75" x14ac:dyDescent="0.25">
      <c r="A60" s="1" t="s">
        <v>43</v>
      </c>
      <c r="B60" s="3" t="s">
        <v>39</v>
      </c>
      <c r="C60" s="10">
        <v>2555.6</v>
      </c>
      <c r="D60" s="23">
        <v>10240.6</v>
      </c>
      <c r="E60" s="24">
        <v>2278</v>
      </c>
      <c r="F60" s="15">
        <v>2503.92</v>
      </c>
      <c r="G60" s="21">
        <v>13486.73</v>
      </c>
      <c r="H60" s="15">
        <v>2086.6999999999998</v>
      </c>
    </row>
    <row r="61" spans="1:8" ht="15.75" x14ac:dyDescent="0.25">
      <c r="A61" s="1" t="s">
        <v>44</v>
      </c>
      <c r="B61" s="1" t="s">
        <v>12</v>
      </c>
      <c r="C61" s="11">
        <v>2179.5</v>
      </c>
      <c r="D61" s="25">
        <v>4418</v>
      </c>
      <c r="E61" s="6">
        <v>2538</v>
      </c>
      <c r="F61" s="15">
        <v>2701.93</v>
      </c>
      <c r="G61" s="26">
        <v>10700.6</v>
      </c>
      <c r="H61" s="15">
        <v>2373.87</v>
      </c>
    </row>
    <row r="62" spans="1:8" ht="15.75" x14ac:dyDescent="0.25">
      <c r="A62" s="1" t="s">
        <v>44</v>
      </c>
      <c r="B62" s="1" t="s">
        <v>13</v>
      </c>
      <c r="C62" s="12">
        <v>3206.6</v>
      </c>
      <c r="D62" s="27">
        <v>13467.8</v>
      </c>
      <c r="E62" s="20">
        <v>2022</v>
      </c>
      <c r="F62" s="15">
        <v>2701.93</v>
      </c>
      <c r="G62" s="26">
        <v>10700.6</v>
      </c>
      <c r="H62" s="15">
        <v>2373.87</v>
      </c>
    </row>
    <row r="63" spans="1:8" ht="15.75" x14ac:dyDescent="0.25">
      <c r="A63" s="1" t="s">
        <v>44</v>
      </c>
      <c r="B63" s="1" t="s">
        <v>14</v>
      </c>
      <c r="C63" s="12">
        <v>1246.5</v>
      </c>
      <c r="D63" s="27">
        <v>13528.8</v>
      </c>
      <c r="E63" s="20">
        <v>1981</v>
      </c>
      <c r="F63" s="15">
        <v>2701.93</v>
      </c>
      <c r="G63" s="26">
        <v>10700.6</v>
      </c>
      <c r="H63" s="15">
        <v>2373.87</v>
      </c>
    </row>
    <row r="64" spans="1:8" ht="15.75" x14ac:dyDescent="0.25">
      <c r="A64" s="1" t="s">
        <v>44</v>
      </c>
      <c r="B64" s="1" t="s">
        <v>15</v>
      </c>
      <c r="C64" s="12">
        <v>1023.3</v>
      </c>
      <c r="D64" s="27">
        <v>13723.1</v>
      </c>
      <c r="E64" s="20">
        <v>2670</v>
      </c>
      <c r="F64" s="15">
        <v>2701.93</v>
      </c>
      <c r="G64" s="26">
        <v>10700.6</v>
      </c>
      <c r="H64" s="15">
        <v>2373.87</v>
      </c>
    </row>
    <row r="65" spans="1:8" ht="15.75" x14ac:dyDescent="0.25">
      <c r="A65" s="1" t="s">
        <v>44</v>
      </c>
      <c r="B65" s="1" t="s">
        <v>16</v>
      </c>
      <c r="C65" s="12">
        <v>4130</v>
      </c>
      <c r="D65" s="27">
        <v>12870.6</v>
      </c>
      <c r="E65" s="20">
        <v>882</v>
      </c>
      <c r="F65" s="15">
        <v>2701.93</v>
      </c>
      <c r="G65" s="26">
        <v>10700.6</v>
      </c>
      <c r="H65" s="15">
        <v>2373.87</v>
      </c>
    </row>
    <row r="66" spans="1:8" ht="15.75" x14ac:dyDescent="0.25">
      <c r="A66" s="1" t="s">
        <v>44</v>
      </c>
      <c r="B66" s="1" t="s">
        <v>17</v>
      </c>
      <c r="C66" s="12">
        <v>2745</v>
      </c>
      <c r="D66" s="27">
        <v>12178.9</v>
      </c>
      <c r="E66" s="20">
        <v>1771</v>
      </c>
      <c r="F66" s="15">
        <v>2701.93</v>
      </c>
      <c r="G66" s="26">
        <v>10700.6</v>
      </c>
      <c r="H66" s="15">
        <v>2373.87</v>
      </c>
    </row>
    <row r="67" spans="1:8" ht="15.75" x14ac:dyDescent="0.25">
      <c r="A67" s="1" t="s">
        <v>44</v>
      </c>
      <c r="B67" s="1" t="s">
        <v>18</v>
      </c>
      <c r="C67" s="12">
        <v>2138.1</v>
      </c>
      <c r="D67" s="27">
        <v>9388.7999999999993</v>
      </c>
      <c r="E67" s="20">
        <v>1339</v>
      </c>
      <c r="F67" s="15">
        <v>2701.93</v>
      </c>
      <c r="G67" s="26">
        <v>10700.6</v>
      </c>
      <c r="H67" s="15">
        <v>2373.87</v>
      </c>
    </row>
    <row r="68" spans="1:8" ht="15.75" x14ac:dyDescent="0.25">
      <c r="A68" s="1" t="s">
        <v>44</v>
      </c>
      <c r="B68" s="1" t="s">
        <v>19</v>
      </c>
      <c r="C68" s="12">
        <v>2398.6999999999998</v>
      </c>
      <c r="D68" s="27">
        <v>2351</v>
      </c>
      <c r="E68" s="20">
        <v>2569</v>
      </c>
      <c r="F68" s="15">
        <v>2701.93</v>
      </c>
      <c r="G68" s="26">
        <v>10700.6</v>
      </c>
      <c r="H68" s="15">
        <v>2373.87</v>
      </c>
    </row>
    <row r="69" spans="1:8" ht="15.75" x14ac:dyDescent="0.25">
      <c r="A69" s="1" t="s">
        <v>44</v>
      </c>
      <c r="B69" s="1" t="s">
        <v>20</v>
      </c>
      <c r="C69" s="12">
        <v>3261</v>
      </c>
      <c r="D69" s="27">
        <v>11572</v>
      </c>
      <c r="E69" s="20">
        <v>2020</v>
      </c>
      <c r="F69" s="15">
        <v>2701.93</v>
      </c>
      <c r="G69" s="26">
        <v>10700.6</v>
      </c>
      <c r="H69" s="15">
        <v>2373.87</v>
      </c>
    </row>
    <row r="70" spans="1:8" ht="15.75" x14ac:dyDescent="0.25">
      <c r="A70" s="4" t="s">
        <v>44</v>
      </c>
      <c r="B70" s="4" t="s">
        <v>21</v>
      </c>
      <c r="C70" s="13">
        <v>2586.3000000000002</v>
      </c>
      <c r="D70" s="25">
        <v>11114</v>
      </c>
      <c r="E70" s="23">
        <v>2619</v>
      </c>
      <c r="F70" s="28">
        <v>2701.93</v>
      </c>
      <c r="G70" s="26">
        <v>10700.6</v>
      </c>
      <c r="H70" s="28">
        <v>2373.87</v>
      </c>
    </row>
    <row r="71" spans="1:8" ht="15.75" x14ac:dyDescent="0.25">
      <c r="A71" s="1" t="s">
        <v>44</v>
      </c>
      <c r="B71" s="1" t="s">
        <v>22</v>
      </c>
      <c r="C71" s="14">
        <v>3916.1</v>
      </c>
      <c r="D71" s="29">
        <v>11667.7</v>
      </c>
      <c r="E71" s="30">
        <v>1427</v>
      </c>
      <c r="F71" s="17">
        <v>2701.93</v>
      </c>
      <c r="G71" s="31">
        <v>10700.6</v>
      </c>
      <c r="H71" s="17">
        <v>2373.87</v>
      </c>
    </row>
    <row r="72" spans="1:8" ht="15.75" x14ac:dyDescent="0.25">
      <c r="A72" s="4" t="s">
        <v>44</v>
      </c>
      <c r="B72" s="1" t="s">
        <v>23</v>
      </c>
      <c r="C72" s="34">
        <v>2183.8000000000002</v>
      </c>
      <c r="D72" s="27">
        <v>10364.4</v>
      </c>
      <c r="E72" s="35">
        <v>2758</v>
      </c>
      <c r="F72" s="28">
        <v>2701.93</v>
      </c>
      <c r="G72" s="26">
        <v>10700.6</v>
      </c>
      <c r="H72" s="28">
        <v>2373.87</v>
      </c>
    </row>
    <row r="73" spans="1:8" ht="15.75" x14ac:dyDescent="0.25">
      <c r="A73" s="1" t="s">
        <v>44</v>
      </c>
      <c r="B73" s="1" t="s">
        <v>24</v>
      </c>
      <c r="C73" s="34">
        <v>2163.6</v>
      </c>
      <c r="D73" s="27">
        <v>11118.5</v>
      </c>
      <c r="E73" s="35">
        <v>2791</v>
      </c>
      <c r="F73" s="17">
        <v>2701.93</v>
      </c>
      <c r="G73" s="31">
        <v>10700.6</v>
      </c>
      <c r="H73" s="17">
        <v>2373.87</v>
      </c>
    </row>
    <row r="74" spans="1:8" ht="15.75" x14ac:dyDescent="0.25">
      <c r="A74" s="4" t="s">
        <v>44</v>
      </c>
      <c r="B74" s="1" t="s">
        <v>25</v>
      </c>
      <c r="C74" s="34">
        <v>2851.9</v>
      </c>
      <c r="D74" s="27">
        <v>6224.9</v>
      </c>
      <c r="E74" s="35">
        <v>2752</v>
      </c>
      <c r="F74" s="28">
        <v>2701.93</v>
      </c>
      <c r="G74" s="26">
        <v>10700.6</v>
      </c>
      <c r="H74" s="28">
        <v>2373.87</v>
      </c>
    </row>
    <row r="75" spans="1:8" ht="15.75" x14ac:dyDescent="0.25">
      <c r="A75" s="1" t="s">
        <v>44</v>
      </c>
      <c r="B75" s="1" t="s">
        <v>26</v>
      </c>
      <c r="C75" s="34">
        <v>2245.4</v>
      </c>
      <c r="D75" s="27">
        <v>4251</v>
      </c>
      <c r="E75" s="35">
        <v>2911</v>
      </c>
      <c r="F75" s="17">
        <v>2701.93</v>
      </c>
      <c r="G75" s="31">
        <v>10700.6</v>
      </c>
      <c r="H75" s="17">
        <v>2373.87</v>
      </c>
    </row>
    <row r="76" spans="1:8" ht="15.75" x14ac:dyDescent="0.25">
      <c r="A76" s="4" t="s">
        <v>44</v>
      </c>
      <c r="B76" s="1" t="s">
        <v>27</v>
      </c>
      <c r="C76" s="36">
        <v>2416.1999999999998</v>
      </c>
      <c r="D76" s="25">
        <v>9067.9</v>
      </c>
      <c r="E76" s="37">
        <v>2987</v>
      </c>
      <c r="F76" s="38">
        <v>2701.93</v>
      </c>
      <c r="G76" s="39">
        <v>10700.6</v>
      </c>
      <c r="H76" s="38">
        <v>2373.87</v>
      </c>
    </row>
    <row r="77" spans="1:8" ht="15.75" x14ac:dyDescent="0.25">
      <c r="A77" s="1" t="s">
        <v>44</v>
      </c>
      <c r="B77" s="1" t="s">
        <v>28</v>
      </c>
      <c r="C77" s="40">
        <v>1978.9</v>
      </c>
      <c r="D77" s="40">
        <v>11939.5</v>
      </c>
      <c r="E77" s="40">
        <v>2850</v>
      </c>
      <c r="F77" s="17">
        <v>2701.93</v>
      </c>
      <c r="G77" s="31">
        <v>10700.6</v>
      </c>
      <c r="H77" s="17">
        <v>2373.87</v>
      </c>
    </row>
  </sheetData>
  <phoneticPr fontId="1" type="noConversion"/>
  <pageMargins left="0.7" right="0.7" top="0.75" bottom="0.75" header="0.3" footer="0.3"/>
  <pageSetup paperSize="9" orientation="portrait" horizontalDpi="4294967293" verticalDpi="4294967293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F4111E-1826-4792-89D5-8C41B591EB79}">
  <dimension ref="A1:G4"/>
  <sheetViews>
    <sheetView workbookViewId="0">
      <selection activeCell="F4" sqref="F4"/>
    </sheetView>
  </sheetViews>
  <sheetFormatPr baseColWidth="10" defaultRowHeight="15" x14ac:dyDescent="0.25"/>
  <cols>
    <col min="4" max="4" width="13" bestFit="1" customWidth="1"/>
    <col min="5" max="5" width="12.7109375" bestFit="1" customWidth="1"/>
  </cols>
  <sheetData>
    <row r="1" spans="1:7" x14ac:dyDescent="0.25">
      <c r="A1" s="1" t="s">
        <v>9</v>
      </c>
      <c r="B1" s="1" t="s">
        <v>45</v>
      </c>
      <c r="C1" s="1" t="s">
        <v>46</v>
      </c>
      <c r="D1" s="1" t="s">
        <v>47</v>
      </c>
      <c r="E1" s="1" t="s">
        <v>48</v>
      </c>
      <c r="F1" s="1" t="s">
        <v>49</v>
      </c>
      <c r="G1" s="1" t="s">
        <v>50</v>
      </c>
    </row>
    <row r="2" spans="1:7" x14ac:dyDescent="0.25">
      <c r="A2" s="1" t="s">
        <v>11</v>
      </c>
      <c r="B2" s="1">
        <v>73640</v>
      </c>
      <c r="C2" s="1">
        <v>70884.100000000006</v>
      </c>
      <c r="D2" s="1">
        <v>55840</v>
      </c>
      <c r="E2" s="1">
        <v>55595.1</v>
      </c>
      <c r="F2" s="1">
        <v>481332</v>
      </c>
      <c r="G2" s="1">
        <v>446784.3</v>
      </c>
    </row>
    <row r="3" spans="1:7" x14ac:dyDescent="0.25">
      <c r="A3" s="1" t="s">
        <v>43</v>
      </c>
      <c r="B3" s="1">
        <v>70110</v>
      </c>
      <c r="C3" s="1">
        <v>74787.100000000006</v>
      </c>
      <c r="D3" s="1">
        <v>58427.6</v>
      </c>
      <c r="E3" s="1">
        <v>56006.1</v>
      </c>
      <c r="F3" s="1">
        <v>377628.44</v>
      </c>
      <c r="G3" s="1">
        <v>373186.5</v>
      </c>
    </row>
    <row r="4" spans="1:7" x14ac:dyDescent="0.25">
      <c r="A4" s="1" t="s">
        <v>44</v>
      </c>
      <c r="B4" s="1">
        <v>45933</v>
      </c>
      <c r="C4" s="1">
        <v>40692</v>
      </c>
      <c r="D4" s="1">
        <v>40355.800000000003</v>
      </c>
      <c r="E4" s="1">
        <v>38887</v>
      </c>
      <c r="F4" s="1">
        <v>181910.2</v>
      </c>
      <c r="G4" s="1">
        <v>169246.9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B7C01A5-6E0A-49F6-86DF-1A80ED37CC16}">
  <dimension ref="A1:E4"/>
  <sheetViews>
    <sheetView workbookViewId="0">
      <selection activeCell="E8" sqref="E8"/>
    </sheetView>
  </sheetViews>
  <sheetFormatPr baseColWidth="10" defaultRowHeight="15" x14ac:dyDescent="0.25"/>
  <cols>
    <col min="3" max="3" width="17.140625" bestFit="1" customWidth="1"/>
    <col min="5" max="5" width="14.7109375" bestFit="1" customWidth="1"/>
  </cols>
  <sheetData>
    <row r="1" spans="1:5" x14ac:dyDescent="0.25">
      <c r="A1" s="33" t="s">
        <v>9</v>
      </c>
      <c r="B1" s="33" t="s">
        <v>46</v>
      </c>
      <c r="C1" s="33" t="s">
        <v>6</v>
      </c>
      <c r="D1" s="33" t="s">
        <v>50</v>
      </c>
      <c r="E1" s="33" t="s">
        <v>7</v>
      </c>
    </row>
    <row r="2" spans="1:5" x14ac:dyDescent="0.25">
      <c r="A2" s="33" t="s">
        <v>11</v>
      </c>
      <c r="B2" s="33">
        <v>96.67</v>
      </c>
      <c r="C2" s="33">
        <v>131.30000000000001</v>
      </c>
      <c r="D2" s="33">
        <v>195.35</v>
      </c>
      <c r="E2" s="33">
        <v>246.1</v>
      </c>
    </row>
    <row r="3" spans="1:5" x14ac:dyDescent="0.25">
      <c r="A3" s="33" t="s">
        <v>43</v>
      </c>
      <c r="B3" s="33">
        <v>99.23</v>
      </c>
      <c r="C3" s="33">
        <v>125.3</v>
      </c>
      <c r="D3" s="33">
        <v>180.24</v>
      </c>
      <c r="E3" s="33">
        <v>191.9</v>
      </c>
    </row>
    <row r="4" spans="1:5" x14ac:dyDescent="0.25">
      <c r="A4" s="33" t="s">
        <v>44</v>
      </c>
      <c r="B4" s="33">
        <v>38.090000000000003</v>
      </c>
      <c r="C4" s="33">
        <v>53.72</v>
      </c>
      <c r="D4" s="33">
        <v>57.55</v>
      </c>
      <c r="E4" s="33">
        <v>59.57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A4FCCE-4C3B-4936-B24A-5F61946C5361}">
  <dimension ref="A1:E4"/>
  <sheetViews>
    <sheetView workbookViewId="0">
      <selection activeCell="G20" sqref="G20"/>
    </sheetView>
  </sheetViews>
  <sheetFormatPr baseColWidth="10" defaultRowHeight="15" x14ac:dyDescent="0.25"/>
  <cols>
    <col min="2" max="2" width="12.42578125" bestFit="1" customWidth="1"/>
  </cols>
  <sheetData>
    <row r="1" spans="1:5" x14ac:dyDescent="0.25">
      <c r="A1" s="33" t="s">
        <v>9</v>
      </c>
      <c r="B1" s="33" t="s">
        <v>51</v>
      </c>
      <c r="C1" s="33" t="s">
        <v>52</v>
      </c>
      <c r="D1" s="33" t="s">
        <v>53</v>
      </c>
      <c r="E1" s="33" t="s">
        <v>54</v>
      </c>
    </row>
    <row r="2" spans="1:5" x14ac:dyDescent="0.25">
      <c r="A2" s="33" t="s">
        <v>11</v>
      </c>
      <c r="B2" s="33" t="s">
        <v>55</v>
      </c>
      <c r="C2" s="33">
        <v>1011</v>
      </c>
      <c r="D2" s="33">
        <v>5</v>
      </c>
      <c r="E2" s="33">
        <v>90</v>
      </c>
    </row>
    <row r="3" spans="1:5" x14ac:dyDescent="0.25">
      <c r="A3" s="33" t="s">
        <v>43</v>
      </c>
      <c r="B3" s="33" t="s">
        <v>56</v>
      </c>
      <c r="C3" s="33">
        <v>1013</v>
      </c>
      <c r="D3" s="33">
        <v>7</v>
      </c>
      <c r="E3" s="33">
        <v>80</v>
      </c>
    </row>
    <row r="4" spans="1:5" x14ac:dyDescent="0.25">
      <c r="A4" s="33" t="s">
        <v>44</v>
      </c>
      <c r="B4" s="33" t="s">
        <v>1</v>
      </c>
      <c r="C4" s="33">
        <v>2011</v>
      </c>
      <c r="D4" s="33">
        <v>9</v>
      </c>
      <c r="E4" s="33">
        <v>120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66A58E-C691-42C4-ABA7-59FBDF58A10B}">
  <dimension ref="A1:B5"/>
  <sheetViews>
    <sheetView workbookViewId="0">
      <selection activeCell="A5" sqref="A5"/>
    </sheetView>
  </sheetViews>
  <sheetFormatPr baseColWidth="10" defaultRowHeight="15" x14ac:dyDescent="0.25"/>
  <cols>
    <col min="1" max="1" width="12.42578125" bestFit="1" customWidth="1"/>
    <col min="2" max="2" width="12.85546875" bestFit="1" customWidth="1"/>
  </cols>
  <sheetData>
    <row r="1" spans="1:2" x14ac:dyDescent="0.25">
      <c r="A1" s="1" t="s">
        <v>51</v>
      </c>
      <c r="B1" s="1" t="s">
        <v>0</v>
      </c>
    </row>
    <row r="2" spans="1:2" x14ac:dyDescent="0.25">
      <c r="A2" s="1" t="s">
        <v>55</v>
      </c>
      <c r="B2" s="1">
        <v>763.8</v>
      </c>
    </row>
    <row r="3" spans="1:2" x14ac:dyDescent="0.25">
      <c r="A3" s="1" t="s">
        <v>56</v>
      </c>
      <c r="B3" s="1">
        <v>525.82000000000005</v>
      </c>
    </row>
    <row r="4" spans="1:2" x14ac:dyDescent="0.25">
      <c r="A4" s="1" t="s">
        <v>1</v>
      </c>
      <c r="B4" s="1">
        <v>2200</v>
      </c>
    </row>
    <row r="5" spans="1:2" x14ac:dyDescent="0.25">
      <c r="A5" s="2" t="s">
        <v>2</v>
      </c>
      <c r="B5" s="1">
        <f>SUM(B2:B4)</f>
        <v>3489.62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5</vt:i4>
      </vt:variant>
    </vt:vector>
  </HeadingPairs>
  <TitlesOfParts>
    <vt:vector size="5" baseType="lpstr">
      <vt:lpstr>daily_generation</vt:lpstr>
      <vt:lpstr>monthly_ytd</vt:lpstr>
      <vt:lpstr>irradiation</vt:lpstr>
      <vt:lpstr>alarms</vt:lpstr>
      <vt:lpstr>meta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Reyes Zumaeta</dc:creator>
  <cp:lastModifiedBy>Roberto Reyes Zumaeta</cp:lastModifiedBy>
  <dcterms:created xsi:type="dcterms:W3CDTF">2026-03-13T13:22:01Z</dcterms:created>
  <dcterms:modified xsi:type="dcterms:W3CDTF">2026-03-18T22:27:00Z</dcterms:modified>
</cp:coreProperties>
</file>